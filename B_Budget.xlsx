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p ict\Assignments\ict 101\"/>
    </mc:Choice>
  </mc:AlternateContent>
  <xr:revisionPtr revIDLastSave="0" documentId="13_ncr:1_{EB023D09-D71F-4F32-86A0-F5EFBE1923B1}" xr6:coauthVersionLast="47" xr6:coauthVersionMax="47" xr10:uidLastSave="{00000000-0000-0000-0000-000000000000}"/>
  <bookViews>
    <workbookView xWindow="-120" yWindow="-120" windowWidth="19440" windowHeight="14880" xr2:uid="{3DCCE48F-7D8E-4B16-AF3A-C680BEC7B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C14" i="1"/>
  <c r="D14" i="1"/>
  <c r="E12" i="1"/>
  <c r="F12" i="1" s="1"/>
  <c r="E9" i="1"/>
  <c r="F9" i="1" s="1"/>
  <c r="E11" i="1"/>
  <c r="F11" i="1" s="1"/>
  <c r="E8" i="1"/>
  <c r="F8" i="1" s="1"/>
  <c r="D10" i="1"/>
  <c r="C10" i="1"/>
  <c r="E10" i="1" l="1"/>
  <c r="F10" i="1" s="1"/>
  <c r="F14" i="1" l="1"/>
</calcChain>
</file>

<file path=xl/sharedStrings.xml><?xml version="1.0" encoding="utf-8"?>
<sst xmlns="http://schemas.openxmlformats.org/spreadsheetml/2006/main" count="14" uniqueCount="14">
  <si>
    <t>Assignment 01: - ICT Foundations &amp; Digital Productivity in the AI Era</t>
  </si>
  <si>
    <t>Student Name: Arumadura Ganidu Thehan De Silva</t>
  </si>
  <si>
    <t xml:space="preserve">Student ID: PSBUC/DIP/ICT/SL/26/LC/0017 </t>
  </si>
  <si>
    <t>Category</t>
  </si>
  <si>
    <t xml:space="preserve">Planned </t>
  </si>
  <si>
    <t>Actual</t>
  </si>
  <si>
    <t>Difference</t>
  </si>
  <si>
    <t>Status</t>
  </si>
  <si>
    <t>Rent</t>
  </si>
  <si>
    <t>Transport</t>
  </si>
  <si>
    <t>Food</t>
  </si>
  <si>
    <t>Total</t>
  </si>
  <si>
    <t>Water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</si>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</sst>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[$Rs.-849]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 Tracker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Planned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Rent</c:v>
                </c:pt>
                <c:pt idx="1">
                  <c:v>Transport</c:v>
                </c:pt>
                <c:pt idx="2">
                  <c:v>Food</c:v>
                </c:pt>
                <c:pt idx="3">
                  <c:v>Electricity</c:v>
                </c:pt>
                <c:pt idx="4">
                  <c:v>Water</c:v>
                </c:pt>
              </c:strCache>
            </c:strRef>
          </c:cat>
          <c:val>
            <c:numRef>
              <c:f>Sheet1!$C$8:$C$12</c:f>
              <c:numCache>
                <c:formatCode>[$Rs.-849]#,##0.00</c:formatCode>
                <c:ptCount val="5"/>
                <c:pt idx="0">
                  <c:v>25000</c:v>
                </c:pt>
                <c:pt idx="1">
                  <c:v>10000</c:v>
                </c:pt>
                <c:pt idx="2">
                  <c:v>22500</c:v>
                </c:pt>
                <c:pt idx="3">
                  <c:v>1570</c:v>
                </c:pt>
                <c:pt idx="4">
                  <c:v>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0-4494-9102-CC9735EC1D43}"/>
            </c:ext>
          </c:extLst>
        </c:ser>
        <c:ser>
          <c:idx val="1"/>
          <c:order val="1"/>
          <c:tx>
            <c:strRef>
              <c:f>Sheet1!$D$7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Rent</c:v>
                </c:pt>
                <c:pt idx="1">
                  <c:v>Transport</c:v>
                </c:pt>
                <c:pt idx="2">
                  <c:v>Food</c:v>
                </c:pt>
                <c:pt idx="3">
                  <c:v>Electricity</c:v>
                </c:pt>
                <c:pt idx="4">
                  <c:v>Water</c:v>
                </c:pt>
              </c:strCache>
            </c:strRef>
          </c:cat>
          <c:val>
            <c:numRef>
              <c:f>Sheet1!$D$8:$D$12</c:f>
              <c:numCache>
                <c:formatCode>[$Rs.-849]#,##0.00</c:formatCode>
                <c:ptCount val="5"/>
                <c:pt idx="0">
                  <c:v>30000</c:v>
                </c:pt>
                <c:pt idx="1">
                  <c:v>8500</c:v>
                </c:pt>
                <c:pt idx="2">
                  <c:v>24000</c:v>
                </c:pt>
                <c:pt idx="3">
                  <c:v>1570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0-4494-9102-CC9735EC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5214671"/>
        <c:axId val="865214191"/>
      </c:barChart>
      <c:catAx>
        <c:axId val="865214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14191"/>
        <c:crosses val="autoZero"/>
        <c:auto val="1"/>
        <c:lblAlgn val="ctr"/>
        <c:lblOffset val="100"/>
        <c:noMultiLvlLbl val="0"/>
      </c:catAx>
      <c:valAx>
        <c:axId val="86521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s.-84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1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</xdr:row>
      <xdr:rowOff>204787</xdr:rowOff>
    </xdr:from>
    <xdr:to>
      <xdr:col>15</xdr:col>
      <xdr:colOff>514350</xdr:colOff>
      <xdr:row>15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8781CC-6B54-F3BB-1BD4-61C0D819E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972C-26C2-412D-8B3E-13EC414EF04A}">
  <dimension ref="B2:K14"/>
  <sheetViews>
    <sheetView tabSelected="1" workbookViewId="0">
      <selection activeCell="G19" sqref="G19"/>
    </sheetView>
  </sheetViews>
  <sheetFormatPr defaultRowHeight="15" x14ac:dyDescent="0.25"/>
  <cols>
    <col min="3" max="3" width="12.7109375" customWidth="1"/>
    <col min="4" max="4" width="13.42578125" customWidth="1"/>
    <col min="5" max="5" width="13.140625" customWidth="1"/>
    <col min="6" max="6" width="17.140625" customWidth="1"/>
    <col min="7" max="7" width="19.5703125" customWidth="1"/>
  </cols>
  <sheetData>
    <row r="2" spans="2:11" ht="21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21" customHeight="1" x14ac:dyDescent="0.25">
      <c r="B3" s="2" t="s">
        <v>1</v>
      </c>
      <c r="C3" s="2"/>
      <c r="D3" s="2"/>
      <c r="E3" s="2"/>
      <c r="F3" s="2"/>
      <c r="G3" s="2"/>
      <c r="H3" s="2"/>
      <c r="I3" s="2"/>
      <c r="J3" s="3"/>
      <c r="K3" s="3"/>
    </row>
    <row r="4" spans="2:11" ht="21" customHeight="1" x14ac:dyDescent="0.25">
      <c r="B4" s="2" t="s">
        <v>2</v>
      </c>
      <c r="C4" s="2"/>
      <c r="D4" s="2"/>
      <c r="E4" s="2"/>
      <c r="F4" s="2"/>
      <c r="G4" s="2"/>
      <c r="H4" s="2"/>
      <c r="I4" s="1"/>
      <c r="J4" s="1"/>
      <c r="K4" s="1"/>
    </row>
    <row r="7" spans="2:11" ht="21" customHeight="1" x14ac:dyDescent="0.25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</row>
    <row r="8" spans="2:11" ht="21" customHeight="1" x14ac:dyDescent="0.25">
      <c r="B8" s="5" t="s">
        <v>8</v>
      </c>
      <c r="C8" s="7">
        <v>25000</v>
      </c>
      <c r="D8" s="8">
        <v>30000</v>
      </c>
      <c r="E8" s="8">
        <f>$D8-$C8</f>
        <v>5000</v>
      </c>
      <c r="F8" s="5" t="str">
        <f>IF($E8&lt;=0, "okay", "over than planned")</f>
        <v>over than planned</v>
      </c>
    </row>
    <row r="9" spans="2:11" ht="21" customHeight="1" x14ac:dyDescent="0.25">
      <c r="B9" s="5" t="s">
        <v>9</v>
      </c>
      <c r="C9" s="8">
        <v>10000</v>
      </c>
      <c r="D9" s="8">
        <v>8500</v>
      </c>
      <c r="E9" s="8">
        <f>$D9-$C9</f>
        <v>-1500</v>
      </c>
      <c r="F9" s="5" t="str">
        <f>IF($E9&lt;=0, "okay", "over than planned")</f>
        <v>okay</v>
      </c>
    </row>
    <row r="10" spans="2:11" ht="21" customHeight="1" x14ac:dyDescent="0.25">
      <c r="B10" s="5" t="s">
        <v>10</v>
      </c>
      <c r="C10" s="8">
        <f>750*30</f>
        <v>22500</v>
      </c>
      <c r="D10" s="8">
        <f>800*30</f>
        <v>24000</v>
      </c>
      <c r="E10" s="8">
        <f>$D10-$C10</f>
        <v>1500</v>
      </c>
      <c r="F10" s="5" t="str">
        <f>IF($E10&lt;=0, "okay", "over than planned")</f>
        <v>over than planned</v>
      </c>
    </row>
    <row r="11" spans="2:11" ht="21" customHeight="1" x14ac:dyDescent="0.25">
      <c r="B11" s="5" t="s">
        <v>13</v>
      </c>
      <c r="C11" s="8">
        <v>1570</v>
      </c>
      <c r="D11" s="8">
        <v>1570</v>
      </c>
      <c r="E11" s="8">
        <f>$D11-$C11</f>
        <v>0</v>
      </c>
      <c r="F11" s="5" t="str">
        <f>IF($E11&lt;=0, "okay", "over than planned")</f>
        <v>okay</v>
      </c>
    </row>
    <row r="12" spans="2:11" ht="21" customHeight="1" x14ac:dyDescent="0.25">
      <c r="B12" s="5" t="s">
        <v>12</v>
      </c>
      <c r="C12" s="8">
        <v>1725</v>
      </c>
      <c r="D12" s="8">
        <v>1600</v>
      </c>
      <c r="E12" s="8">
        <f>$D12-$C12</f>
        <v>-125</v>
      </c>
      <c r="F12" s="5" t="str">
        <f>IF($E12&lt;=0, "okay", "over than planned")</f>
        <v>okay</v>
      </c>
    </row>
    <row r="13" spans="2:11" ht="21" customHeight="1" x14ac:dyDescent="0.25">
      <c r="B13" s="5"/>
      <c r="C13" s="5"/>
      <c r="D13" s="5"/>
      <c r="E13" s="8"/>
      <c r="F13" s="5"/>
    </row>
    <row r="14" spans="2:11" x14ac:dyDescent="0.25">
      <c r="B14" s="6" t="s">
        <v>11</v>
      </c>
      <c r="C14" s="8">
        <f>SUM($C8:$C12)</f>
        <v>60795</v>
      </c>
      <c r="D14" s="8">
        <f>SUM($D8:$D12)</f>
        <v>65670</v>
      </c>
      <c r="E14" s="8">
        <f t="shared" ref="E13:E14" si="0">$D14-$C14</f>
        <v>4875</v>
      </c>
      <c r="F14" s="5" t="str">
        <f t="shared" ref="F14" si="1">IF($E14&lt;=0, "okay", "over than planned")</f>
        <v>over than planned</v>
      </c>
    </row>
  </sheetData>
  <mergeCells count="3">
    <mergeCell ref="B2:K2"/>
    <mergeCell ref="B3:I3"/>
    <mergeCell ref="B4:H4"/>
  </mergeCells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TECH</dc:creator>
  <cp:lastModifiedBy>GT TECH</cp:lastModifiedBy>
  <dcterms:created xsi:type="dcterms:W3CDTF">2026-03-26T04:44:52Z</dcterms:created>
  <dcterms:modified xsi:type="dcterms:W3CDTF">2026-03-26T13:06:45Z</dcterms:modified>
</cp:coreProperties>
</file>